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tmehta/Desktop/Thryve/"/>
    </mc:Choice>
  </mc:AlternateContent>
  <xr:revisionPtr revIDLastSave="0" documentId="13_ncr:1_{12098CB6-2C87-B840-B762-D4E1971F4C33}" xr6:coauthVersionLast="36" xr6:coauthVersionMax="36" xr10:uidLastSave="{00000000-0000-0000-0000-000000000000}"/>
  <bookViews>
    <workbookView xWindow="0" yWindow="460" windowWidth="28800" windowHeight="14960" xr2:uid="{CE3F3A3D-3605-6A43-9A7E-E9ADC8A6C652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1" l="1"/>
  <c r="O15" i="1"/>
  <c r="E4" i="3" l="1"/>
  <c r="E6" i="3"/>
  <c r="E7" i="3"/>
  <c r="E8" i="3"/>
  <c r="E9" i="3"/>
  <c r="E10" i="3"/>
  <c r="E11" i="3"/>
  <c r="E12" i="3"/>
  <c r="E13" i="3"/>
  <c r="E14" i="3"/>
  <c r="E15" i="3"/>
  <c r="E16" i="3"/>
  <c r="E3" i="3" l="1"/>
  <c r="M39" i="3"/>
  <c r="O37" i="3"/>
  <c r="O36" i="3"/>
  <c r="R35" i="3"/>
  <c r="O35" i="3"/>
  <c r="R34" i="3"/>
  <c r="O34" i="3"/>
  <c r="R33" i="3"/>
  <c r="O33" i="3"/>
  <c r="R32" i="3"/>
  <c r="O32" i="3"/>
  <c r="R31" i="3"/>
  <c r="O31" i="3"/>
  <c r="R30" i="3"/>
  <c r="O30" i="3"/>
  <c r="R29" i="3"/>
  <c r="O29" i="3"/>
  <c r="R28" i="3"/>
  <c r="O28" i="3"/>
  <c r="R27" i="3"/>
  <c r="O27" i="3"/>
  <c r="R26" i="3"/>
  <c r="O26" i="3"/>
  <c r="R25" i="3"/>
  <c r="O25" i="3"/>
  <c r="O2" i="2" l="1"/>
  <c r="O14" i="1"/>
  <c r="O13" i="1" l="1"/>
  <c r="R12" i="1" l="1"/>
  <c r="O12" i="1"/>
  <c r="R11" i="1" l="1"/>
  <c r="O11" i="1"/>
  <c r="R10" i="1" l="1"/>
  <c r="O10" i="1"/>
  <c r="R8" i="1" l="1"/>
  <c r="O5" i="1" l="1"/>
  <c r="O6" i="1"/>
  <c r="O7" i="1"/>
  <c r="O8" i="1"/>
  <c r="O9" i="1"/>
  <c r="O4" i="1"/>
  <c r="R3" i="1" l="1"/>
  <c r="R4" i="1"/>
  <c r="R5" i="1"/>
  <c r="R6" i="1"/>
  <c r="R7" i="1"/>
  <c r="R9" i="1"/>
  <c r="O3" i="1"/>
  <c r="R2" i="1" l="1"/>
  <c r="O2" i="1"/>
</calcChain>
</file>

<file path=xl/sharedStrings.xml><?xml version="1.0" encoding="utf-8"?>
<sst xmlns="http://schemas.openxmlformats.org/spreadsheetml/2006/main" count="419" uniqueCount="119">
  <si>
    <t>Month &amp; Year</t>
  </si>
  <si>
    <t>Company's Name</t>
  </si>
  <si>
    <t>Address</t>
  </si>
  <si>
    <t>Authorized Signatory</t>
  </si>
  <si>
    <t>Signatory's Father's Name</t>
  </si>
  <si>
    <t>Start Date</t>
  </si>
  <si>
    <t>End date</t>
  </si>
  <si>
    <t>Lock in</t>
  </si>
  <si>
    <t>License fee</t>
  </si>
  <si>
    <t>Security</t>
  </si>
  <si>
    <t>Setup charges</t>
  </si>
  <si>
    <t>1st</t>
  </si>
  <si>
    <t>H.No. 137, Sector 17, Faridabad, Haryana</t>
  </si>
  <si>
    <t>Mr. Vikram Kukreja</t>
  </si>
  <si>
    <t>Six Seater Cabin</t>
  </si>
  <si>
    <t>Not applicable</t>
  </si>
  <si>
    <t>January, 2026</t>
  </si>
  <si>
    <t>6th</t>
  </si>
  <si>
    <t>Last 2 Brain Cells</t>
  </si>
  <si>
    <t>H.No. 267, Sector 17, Faridabad, Haryana</t>
  </si>
  <si>
    <t>Mr. Aastik Sharma</t>
  </si>
  <si>
    <t>Open Seat</t>
  </si>
  <si>
    <t>12th</t>
  </si>
  <si>
    <t>TENB Fintech Private Ltd.</t>
  </si>
  <si>
    <t>PAN No.</t>
  </si>
  <si>
    <t>GSTIN</t>
  </si>
  <si>
    <t>ERPACORE IT Consulting Pvt. Ltd.</t>
  </si>
  <si>
    <t>15th</t>
  </si>
  <si>
    <t xml:space="preserve">H.No. 61, First Floor, Sector 21 D, Faridabad </t>
  </si>
  <si>
    <t>Mr. Atul Ahuja</t>
  </si>
  <si>
    <t>To Be Honest Circle LLP</t>
  </si>
  <si>
    <t>06AAQFT7340E1Z0</t>
  </si>
  <si>
    <t>06AAKCT3921E1ZH</t>
  </si>
  <si>
    <t>Apex Legal Eagles</t>
  </si>
  <si>
    <t>Mr. Sahil Singh</t>
  </si>
  <si>
    <t>Open Seats</t>
  </si>
  <si>
    <t>28th</t>
  </si>
  <si>
    <t>2nd</t>
  </si>
  <si>
    <t>February, 2026</t>
  </si>
  <si>
    <t xml:space="preserve">H.No. 61, Second Floor, Sector 21 D, Faridabad </t>
  </si>
  <si>
    <t>Mr. Ankit Sharma</t>
  </si>
  <si>
    <t>Amit Mehta</t>
  </si>
  <si>
    <t>Marketing Head</t>
  </si>
  <si>
    <t>Day</t>
  </si>
  <si>
    <t>S/o Sh. Satish K. Kukreja</t>
  </si>
  <si>
    <t>Space Description</t>
  </si>
  <si>
    <t>Seats</t>
  </si>
  <si>
    <t>for Thryve</t>
  </si>
  <si>
    <t>Designation</t>
  </si>
  <si>
    <t>S.No.</t>
  </si>
  <si>
    <t>People Pro Consulting</t>
  </si>
  <si>
    <t>E-3/188, NIT, Faridabad</t>
  </si>
  <si>
    <t>Mr. Nitin Kalra</t>
  </si>
  <si>
    <t>S/o Sh. Surinder Kalra</t>
  </si>
  <si>
    <t>06AAMFP0319F1ZH</t>
  </si>
  <si>
    <t>AAMFP0319F</t>
  </si>
  <si>
    <t>March, 2026</t>
  </si>
  <si>
    <t>Creation Inks</t>
  </si>
  <si>
    <t>Aadhar</t>
  </si>
  <si>
    <t>Social Brillz</t>
  </si>
  <si>
    <t>06DGYPA3918J1Z0</t>
  </si>
  <si>
    <t>Sikri 48, Near New School, Sikri, Faridabad</t>
  </si>
  <si>
    <t>296378553198</t>
  </si>
  <si>
    <t>883611631097</t>
  </si>
  <si>
    <t>06AAIFC9620N1Z3</t>
  </si>
  <si>
    <t>Partner</t>
  </si>
  <si>
    <t>Admin Head</t>
  </si>
  <si>
    <t>Director</t>
  </si>
  <si>
    <t>Proprietor</t>
  </si>
  <si>
    <t>Thryve Designation</t>
  </si>
  <si>
    <t>Mr. Ashutosh</t>
  </si>
  <si>
    <t>Third A-42, Flat No. 6, Bhagya Shree Apartment, Nehru Nagar Ghaziabad</t>
  </si>
  <si>
    <t>3rd</t>
  </si>
  <si>
    <t>06AAJCE3581A1ZX</t>
  </si>
  <si>
    <t>AAJCE3581A</t>
  </si>
  <si>
    <t>Mr. Vikram Singh Batra</t>
  </si>
  <si>
    <t>Self</t>
  </si>
  <si>
    <t>760666581456</t>
  </si>
  <si>
    <t>AHPPB3280K</t>
  </si>
  <si>
    <t>H.No.480, Sector 15, Near Ashram, Escorts Nagar, Faridabad</t>
  </si>
  <si>
    <t>9th</t>
  </si>
  <si>
    <t>06AVCPK7946A2ZQ</t>
  </si>
  <si>
    <t>Shree Anand International Co.</t>
  </si>
  <si>
    <t>Mr. Kapil Kukreja</t>
  </si>
  <si>
    <t>Cabin</t>
  </si>
  <si>
    <t>Owner</t>
  </si>
  <si>
    <t>Plot no.-10, Dabua Pali Road, Ram Singh Road, Bajri, Faridabad, Haryana, 121001</t>
  </si>
  <si>
    <t>MachFox Hydraulics &amp; Lubrication Pvt. Ltd.</t>
  </si>
  <si>
    <t>Mrs. Veena Sharma</t>
  </si>
  <si>
    <t>AGM</t>
  </si>
  <si>
    <t>Plot no. 7 A, Sector 24, Ballabgarh, Faridabad, Haryana, 121001</t>
  </si>
  <si>
    <t>06AAQCM2019Q1ZY</t>
  </si>
  <si>
    <t>Nitika</t>
  </si>
  <si>
    <t xml:space="preserve">Ms. Nitika </t>
  </si>
  <si>
    <t>April, 2026</t>
  </si>
  <si>
    <t>Golden Rise International</t>
  </si>
  <si>
    <t>Mr. Surinder Kumar Kalra</t>
  </si>
  <si>
    <t>AKRPK2057L</t>
  </si>
  <si>
    <t>341212212949</t>
  </si>
  <si>
    <t>Client Company Name</t>
  </si>
  <si>
    <t>Client Address</t>
  </si>
  <si>
    <t>Client GSTIN</t>
  </si>
  <si>
    <t>Invoice Date (YYYY-MM-DD)</t>
  </si>
  <si>
    <t>Due Date (YYYY-MM-DD)</t>
  </si>
  <si>
    <t>Monthly Plan Fee</t>
  </si>
  <si>
    <t>Prorate Days</t>
  </si>
  <si>
    <t>Prorate Total Days</t>
  </si>
  <si>
    <t>Day Pass Rate</t>
  </si>
  <si>
    <t>Day Pass Qty</t>
  </si>
  <si>
    <t>Security Deposit</t>
  </si>
  <si>
    <t>Setup Charges</t>
  </si>
  <si>
    <t>Meeting Room Rate</t>
  </si>
  <si>
    <t>Meeting Room Hours</t>
  </si>
  <si>
    <t>Additional Charges</t>
  </si>
  <si>
    <t>Additional Charges Description</t>
  </si>
  <si>
    <t>Notes</t>
  </si>
  <si>
    <t>Himanshu</t>
  </si>
  <si>
    <t>Ms. Nitika</t>
  </si>
  <si>
    <t>4th Floor, Rider House, Sector 44, Gurgaon Haryana 122 002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</si>
</sst>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A0A0A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2E375B"/>
      <name val="Calibri"/>
      <family val="2"/>
    </font>
    <font>
      <sz val="12"/>
      <name val="Calibri"/>
      <family val="2"/>
      <scheme val="minor"/>
    </font>
    <font>
      <b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2E375B"/>
        <bgColor rgb="FF2E375B"/>
      </patternFill>
    </fill>
    <fill>
      <patternFill patternType="solid">
        <fgColor rgb="FFFFA14A"/>
        <bgColor rgb="FFFFA14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NumberFormat="1" applyFont="1"/>
    <xf numFmtId="165" fontId="0" fillId="0" borderId="0" xfId="0" applyNumberFormat="1"/>
    <xf numFmtId="165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0" fontId="0" fillId="2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165" fontId="0" fillId="0" borderId="0" xfId="0" applyNumberFormat="1" applyFill="1"/>
    <xf numFmtId="165" fontId="2" fillId="0" borderId="0" xfId="0" applyNumberFormat="1" applyFont="1" applyFill="1"/>
    <xf numFmtId="164" fontId="0" fillId="0" borderId="0" xfId="1" applyNumberFormat="1" applyFont="1" applyFill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49" fontId="3" fillId="0" borderId="0" xfId="0" applyNumberFormat="1" applyFont="1" applyFill="1" applyAlignment="1">
      <alignment horizontal="center"/>
    </xf>
    <xf numFmtId="165" fontId="3" fillId="0" borderId="0" xfId="0" applyNumberFormat="1" applyFont="1" applyFill="1" applyAlignment="1">
      <alignment horizontal="center"/>
    </xf>
    <xf numFmtId="164" fontId="3" fillId="0" borderId="0" xfId="1" applyNumberFormat="1" applyFont="1" applyFill="1" applyAlignment="1">
      <alignment horizontal="center"/>
    </xf>
    <xf numFmtId="49" fontId="0" fillId="0" borderId="0" xfId="0" applyNumberFormat="1" applyFill="1"/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/>
    <xf numFmtId="14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0" fillId="0" borderId="0" xfId="0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E259E-F438-9C44-AD57-632288ABB64E}">
  <dimension ref="A1:U21"/>
  <sheetViews>
    <sheetView tabSelected="1" zoomScale="175" workbookViewId="0">
      <pane xSplit="4" topLeftCell="K1" activePane="topRight" state="frozen"/>
      <selection pane="topRight" activeCell="M9" sqref="M9"/>
    </sheetView>
  </sheetViews>
  <sheetFormatPr baseColWidth="10" defaultRowHeight="16" x14ac:dyDescent="0.2"/>
  <cols>
    <col min="1" max="1" width="5.83203125" style="13" customWidth="1"/>
    <col min="2" max="2" width="4.6640625" style="12" customWidth="1"/>
    <col min="3" max="3" width="13.33203125" style="12" bestFit="1" customWidth="1"/>
    <col min="4" max="4" width="36.33203125" style="12" bestFit="1" customWidth="1"/>
    <col min="5" max="5" width="22.1640625" style="12" bestFit="1" customWidth="1"/>
    <col min="6" max="6" width="23.6640625" style="12" customWidth="1"/>
    <col min="7" max="7" width="11.6640625" style="12" customWidth="1"/>
    <col min="8" max="8" width="12.5" style="13" customWidth="1"/>
    <col min="9" max="9" width="17.33203125" style="12" customWidth="1"/>
    <col min="10" max="10" width="15.6640625" style="24" customWidth="1"/>
    <col min="11" max="11" width="62.33203125" style="12" bestFit="1" customWidth="1"/>
    <col min="12" max="12" width="15.5" style="12" customWidth="1"/>
    <col min="13" max="13" width="5.6640625" style="13" customWidth="1"/>
    <col min="14" max="14" width="15" style="15" bestFit="1" customWidth="1"/>
    <col min="15" max="15" width="17.1640625" style="15" bestFit="1" customWidth="1"/>
    <col min="16" max="16" width="8.33203125" style="13" customWidth="1"/>
    <col min="17" max="18" width="10.83203125" style="17"/>
    <col min="19" max="19" width="12.6640625" style="12" bestFit="1" customWidth="1"/>
    <col min="20" max="20" width="11.1640625" style="12" customWidth="1"/>
    <col min="21" max="21" width="14" style="12" customWidth="1"/>
    <col min="22" max="16384" width="10.83203125" style="12"/>
  </cols>
  <sheetData>
    <row r="1" spans="1:21" s="20" customFormat="1" x14ac:dyDescent="0.2">
      <c r="A1" s="20" t="s">
        <v>49</v>
      </c>
      <c r="B1" s="20" t="s">
        <v>43</v>
      </c>
      <c r="C1" s="20" t="s">
        <v>0</v>
      </c>
      <c r="D1" s="20" t="s">
        <v>1</v>
      </c>
      <c r="E1" s="20" t="s">
        <v>3</v>
      </c>
      <c r="F1" s="20" t="s">
        <v>4</v>
      </c>
      <c r="G1" s="20" t="s">
        <v>48</v>
      </c>
      <c r="H1" s="20" t="s">
        <v>24</v>
      </c>
      <c r="I1" s="20" t="s">
        <v>25</v>
      </c>
      <c r="J1" s="21" t="s">
        <v>58</v>
      </c>
      <c r="K1" s="20" t="s">
        <v>2</v>
      </c>
      <c r="L1" s="20" t="s">
        <v>45</v>
      </c>
      <c r="M1" s="20" t="s">
        <v>46</v>
      </c>
      <c r="N1" s="22" t="s">
        <v>5</v>
      </c>
      <c r="O1" s="22" t="s">
        <v>6</v>
      </c>
      <c r="P1" s="20" t="s">
        <v>7</v>
      </c>
      <c r="Q1" s="23" t="s">
        <v>8</v>
      </c>
      <c r="R1" s="23" t="s">
        <v>9</v>
      </c>
      <c r="S1" s="20" t="s">
        <v>10</v>
      </c>
      <c r="T1" s="20" t="s">
        <v>47</v>
      </c>
      <c r="U1" s="20" t="s">
        <v>69</v>
      </c>
    </row>
    <row r="2" spans="1:21" x14ac:dyDescent="0.2">
      <c r="A2" s="13">
        <v>1</v>
      </c>
      <c r="B2" s="12" t="s">
        <v>11</v>
      </c>
      <c r="C2" s="12" t="s">
        <v>16</v>
      </c>
      <c r="D2" s="12" t="s">
        <v>30</v>
      </c>
      <c r="E2" s="12" t="s">
        <v>13</v>
      </c>
      <c r="F2" s="12" t="s">
        <v>44</v>
      </c>
      <c r="G2" s="12" t="s">
        <v>65</v>
      </c>
      <c r="I2" s="13" t="s">
        <v>31</v>
      </c>
      <c r="J2" s="14"/>
      <c r="K2" s="12" t="s">
        <v>12</v>
      </c>
      <c r="L2" s="12" t="s">
        <v>14</v>
      </c>
      <c r="M2" s="13">
        <v>4</v>
      </c>
      <c r="N2" s="16">
        <v>46023</v>
      </c>
      <c r="O2" s="16">
        <f>EDATE(N2, 11)</f>
        <v>46357</v>
      </c>
      <c r="P2" s="13">
        <v>11</v>
      </c>
      <c r="Q2" s="17">
        <v>6000</v>
      </c>
      <c r="R2" s="17">
        <f>M2*Q2</f>
        <v>24000</v>
      </c>
      <c r="S2" s="12" t="s">
        <v>15</v>
      </c>
      <c r="T2" s="12" t="s">
        <v>41</v>
      </c>
      <c r="U2" s="12" t="s">
        <v>42</v>
      </c>
    </row>
    <row r="3" spans="1:21" x14ac:dyDescent="0.2">
      <c r="A3" s="13">
        <v>2</v>
      </c>
      <c r="B3" s="12" t="s">
        <v>17</v>
      </c>
      <c r="C3" s="12" t="s">
        <v>16</v>
      </c>
      <c r="D3" s="12" t="s">
        <v>18</v>
      </c>
      <c r="E3" s="12" t="s">
        <v>20</v>
      </c>
      <c r="G3" s="12" t="s">
        <v>65</v>
      </c>
      <c r="I3" s="13"/>
      <c r="J3" s="14"/>
      <c r="K3" s="12" t="s">
        <v>19</v>
      </c>
      <c r="L3" s="12" t="s">
        <v>21</v>
      </c>
      <c r="M3" s="13">
        <v>2</v>
      </c>
      <c r="N3" s="16">
        <v>46028</v>
      </c>
      <c r="O3" s="16">
        <f t="shared" ref="O3:O10" si="0">EDATE(N3, 11)</f>
        <v>46362</v>
      </c>
      <c r="P3" s="13">
        <v>11</v>
      </c>
      <c r="Q3" s="17">
        <v>5000</v>
      </c>
      <c r="R3" s="17">
        <f t="shared" ref="R3:R10" si="1">M3*Q3</f>
        <v>10000</v>
      </c>
      <c r="S3" s="12" t="s">
        <v>15</v>
      </c>
      <c r="T3" s="12" t="s">
        <v>41</v>
      </c>
      <c r="U3" s="12" t="s">
        <v>42</v>
      </c>
    </row>
    <row r="4" spans="1:21" x14ac:dyDescent="0.2">
      <c r="A4" s="13">
        <v>3</v>
      </c>
      <c r="B4" s="12" t="s">
        <v>22</v>
      </c>
      <c r="C4" s="12" t="s">
        <v>16</v>
      </c>
      <c r="D4" s="12" t="s">
        <v>23</v>
      </c>
      <c r="G4" s="12" t="s">
        <v>66</v>
      </c>
      <c r="I4" s="13" t="s">
        <v>32</v>
      </c>
      <c r="J4" s="14"/>
      <c r="L4" s="12" t="s">
        <v>14</v>
      </c>
      <c r="M4" s="13">
        <v>6</v>
      </c>
      <c r="N4" s="15">
        <v>46034</v>
      </c>
      <c r="O4" s="16">
        <f t="shared" si="0"/>
        <v>46368</v>
      </c>
      <c r="P4" s="13">
        <v>3</v>
      </c>
      <c r="Q4" s="17">
        <v>5000</v>
      </c>
      <c r="R4" s="17">
        <f t="shared" si="1"/>
        <v>30000</v>
      </c>
      <c r="S4" s="12" t="s">
        <v>15</v>
      </c>
      <c r="T4" s="12" t="s">
        <v>41</v>
      </c>
      <c r="U4" s="12" t="s">
        <v>42</v>
      </c>
    </row>
    <row r="5" spans="1:21" x14ac:dyDescent="0.2">
      <c r="A5" s="13">
        <v>4</v>
      </c>
      <c r="B5" s="12" t="s">
        <v>27</v>
      </c>
      <c r="C5" s="12" t="s">
        <v>16</v>
      </c>
      <c r="D5" s="12" t="s">
        <v>26</v>
      </c>
      <c r="E5" s="12" t="s">
        <v>29</v>
      </c>
      <c r="G5" s="12" t="s">
        <v>67</v>
      </c>
      <c r="H5" s="13" t="s">
        <v>74</v>
      </c>
      <c r="I5" s="13" t="s">
        <v>73</v>
      </c>
      <c r="J5" s="14"/>
      <c r="K5" s="12" t="s">
        <v>28</v>
      </c>
      <c r="L5" s="12" t="s">
        <v>35</v>
      </c>
      <c r="M5" s="13">
        <v>3</v>
      </c>
      <c r="N5" s="15">
        <v>46037</v>
      </c>
      <c r="O5" s="16">
        <f t="shared" si="0"/>
        <v>46371</v>
      </c>
      <c r="P5" s="13">
        <v>11</v>
      </c>
      <c r="Q5" s="17">
        <v>5000</v>
      </c>
      <c r="R5" s="17">
        <f t="shared" si="1"/>
        <v>15000</v>
      </c>
      <c r="S5" s="12" t="s">
        <v>15</v>
      </c>
      <c r="T5" s="12" t="s">
        <v>41</v>
      </c>
      <c r="U5" s="12" t="s">
        <v>42</v>
      </c>
    </row>
    <row r="6" spans="1:21" x14ac:dyDescent="0.2">
      <c r="A6" s="13">
        <v>5</v>
      </c>
      <c r="B6" s="12" t="s">
        <v>36</v>
      </c>
      <c r="C6" s="12" t="s">
        <v>16</v>
      </c>
      <c r="D6" s="12" t="s">
        <v>33</v>
      </c>
      <c r="E6" s="12" t="s">
        <v>34</v>
      </c>
      <c r="G6" s="12" t="s">
        <v>65</v>
      </c>
      <c r="I6" s="13"/>
      <c r="J6" s="14"/>
      <c r="K6" s="12" t="s">
        <v>71</v>
      </c>
      <c r="L6" s="12" t="s">
        <v>35</v>
      </c>
      <c r="M6" s="13">
        <v>2</v>
      </c>
      <c r="N6" s="15">
        <v>46054</v>
      </c>
      <c r="O6" s="16">
        <f t="shared" si="0"/>
        <v>46388</v>
      </c>
      <c r="P6" s="13">
        <v>11</v>
      </c>
      <c r="Q6" s="17">
        <v>5500</v>
      </c>
      <c r="R6" s="17">
        <f t="shared" si="1"/>
        <v>11000</v>
      </c>
      <c r="S6" s="12" t="s">
        <v>15</v>
      </c>
      <c r="T6" s="12" t="s">
        <v>41</v>
      </c>
      <c r="U6" s="12" t="s">
        <v>42</v>
      </c>
    </row>
    <row r="7" spans="1:21" x14ac:dyDescent="0.2">
      <c r="A7" s="13">
        <v>6</v>
      </c>
      <c r="B7" s="12" t="s">
        <v>37</v>
      </c>
      <c r="C7" s="12" t="s">
        <v>38</v>
      </c>
      <c r="D7" s="12" t="s">
        <v>57</v>
      </c>
      <c r="E7" s="12" t="s">
        <v>40</v>
      </c>
      <c r="G7" s="12" t="s">
        <v>68</v>
      </c>
      <c r="I7" s="13" t="s">
        <v>64</v>
      </c>
      <c r="J7" s="14" t="s">
        <v>62</v>
      </c>
      <c r="K7" s="12" t="s">
        <v>39</v>
      </c>
      <c r="L7" s="12" t="s">
        <v>21</v>
      </c>
      <c r="M7" s="13">
        <v>1</v>
      </c>
      <c r="N7" s="15">
        <v>46055</v>
      </c>
      <c r="O7" s="16">
        <f t="shared" si="0"/>
        <v>46389</v>
      </c>
      <c r="P7" s="13">
        <v>11</v>
      </c>
      <c r="Q7" s="17">
        <v>5000</v>
      </c>
      <c r="R7" s="17">
        <f t="shared" si="1"/>
        <v>5000</v>
      </c>
      <c r="S7" s="12" t="s">
        <v>15</v>
      </c>
      <c r="T7" s="12" t="s">
        <v>41</v>
      </c>
      <c r="U7" s="12" t="s">
        <v>42</v>
      </c>
    </row>
    <row r="8" spans="1:21" x14ac:dyDescent="0.2">
      <c r="A8" s="13">
        <v>7</v>
      </c>
      <c r="B8" s="12" t="s">
        <v>11</v>
      </c>
      <c r="C8" s="12" t="s">
        <v>56</v>
      </c>
      <c r="D8" s="12" t="s">
        <v>50</v>
      </c>
      <c r="E8" s="12" t="s">
        <v>52</v>
      </c>
      <c r="F8" s="12" t="s">
        <v>53</v>
      </c>
      <c r="G8" s="12" t="s">
        <v>65</v>
      </c>
      <c r="H8" s="13" t="s">
        <v>55</v>
      </c>
      <c r="I8" s="13" t="s">
        <v>54</v>
      </c>
      <c r="J8" s="14"/>
      <c r="K8" s="12" t="s">
        <v>51</v>
      </c>
      <c r="L8" s="12" t="s">
        <v>14</v>
      </c>
      <c r="M8" s="13">
        <v>5</v>
      </c>
      <c r="N8" s="15">
        <v>46082</v>
      </c>
      <c r="O8" s="16">
        <f t="shared" si="0"/>
        <v>46419</v>
      </c>
      <c r="P8" s="13">
        <v>3</v>
      </c>
      <c r="Q8" s="17">
        <v>5500</v>
      </c>
      <c r="R8" s="17">
        <f>27500*1.5</f>
        <v>41250</v>
      </c>
      <c r="S8" s="12" t="s">
        <v>15</v>
      </c>
      <c r="T8" s="12" t="s">
        <v>41</v>
      </c>
      <c r="U8" s="12" t="s">
        <v>42</v>
      </c>
    </row>
    <row r="9" spans="1:21" x14ac:dyDescent="0.2">
      <c r="A9" s="13">
        <v>8</v>
      </c>
      <c r="B9" s="12" t="s">
        <v>72</v>
      </c>
      <c r="C9" s="12" t="s">
        <v>56</v>
      </c>
      <c r="D9" s="12" t="s">
        <v>59</v>
      </c>
      <c r="E9" s="12" t="s">
        <v>70</v>
      </c>
      <c r="G9" s="12" t="s">
        <v>65</v>
      </c>
      <c r="I9" s="12" t="s">
        <v>60</v>
      </c>
      <c r="J9" s="14" t="s">
        <v>63</v>
      </c>
      <c r="K9" s="12" t="s">
        <v>61</v>
      </c>
      <c r="L9" s="12" t="s">
        <v>35</v>
      </c>
      <c r="M9" s="13">
        <v>1</v>
      </c>
      <c r="N9" s="15">
        <v>46057</v>
      </c>
      <c r="O9" s="16">
        <f t="shared" si="0"/>
        <v>46391</v>
      </c>
      <c r="P9" s="13">
        <v>11</v>
      </c>
      <c r="Q9" s="17">
        <v>6000</v>
      </c>
      <c r="R9" s="17">
        <f t="shared" si="1"/>
        <v>6000</v>
      </c>
      <c r="S9" s="12" t="s">
        <v>15</v>
      </c>
      <c r="T9" s="12" t="s">
        <v>41</v>
      </c>
      <c r="U9" s="12" t="s">
        <v>42</v>
      </c>
    </row>
    <row r="10" spans="1:21" x14ac:dyDescent="0.2">
      <c r="A10" s="13">
        <v>9</v>
      </c>
      <c r="B10" s="12" t="s">
        <v>80</v>
      </c>
      <c r="C10" s="12" t="s">
        <v>38</v>
      </c>
      <c r="D10" s="12" t="s">
        <v>75</v>
      </c>
      <c r="E10" s="12" t="s">
        <v>75</v>
      </c>
      <c r="G10" s="12" t="s">
        <v>76</v>
      </c>
      <c r="H10" s="13" t="s">
        <v>78</v>
      </c>
      <c r="J10" s="14" t="s">
        <v>77</v>
      </c>
      <c r="K10" s="12" t="s">
        <v>79</v>
      </c>
      <c r="L10" s="12" t="s">
        <v>21</v>
      </c>
      <c r="N10" s="15">
        <v>46062</v>
      </c>
      <c r="O10" s="16">
        <f t="shared" si="0"/>
        <v>46396</v>
      </c>
      <c r="P10" s="13">
        <v>11</v>
      </c>
      <c r="Q10" s="17">
        <v>3500</v>
      </c>
      <c r="R10" s="17">
        <f t="shared" si="1"/>
        <v>0</v>
      </c>
      <c r="S10" s="12" t="s">
        <v>15</v>
      </c>
      <c r="T10" s="12" t="s">
        <v>41</v>
      </c>
      <c r="U10" s="12" t="s">
        <v>42</v>
      </c>
    </row>
    <row r="11" spans="1:21" x14ac:dyDescent="0.2">
      <c r="A11" s="13">
        <v>10</v>
      </c>
      <c r="B11" s="12" t="s">
        <v>22</v>
      </c>
      <c r="C11" s="12" t="s">
        <v>38</v>
      </c>
      <c r="D11" s="12" t="s">
        <v>82</v>
      </c>
      <c r="E11" s="12" t="s">
        <v>83</v>
      </c>
      <c r="G11" s="12" t="s">
        <v>85</v>
      </c>
      <c r="I11" s="12" t="s">
        <v>81</v>
      </c>
      <c r="J11" s="14"/>
      <c r="K11" s="12" t="s">
        <v>86</v>
      </c>
      <c r="L11" s="12" t="s">
        <v>84</v>
      </c>
      <c r="M11" s="13">
        <v>6</v>
      </c>
      <c r="N11" s="16">
        <v>46082</v>
      </c>
      <c r="O11" s="16">
        <f>EDATE(N11, 11)</f>
        <v>46419</v>
      </c>
      <c r="P11" s="13">
        <v>11</v>
      </c>
      <c r="Q11" s="17">
        <v>5500</v>
      </c>
      <c r="R11" s="17">
        <f>Q11*M11</f>
        <v>33000</v>
      </c>
      <c r="S11" s="12" t="s">
        <v>15</v>
      </c>
      <c r="T11" s="12" t="s">
        <v>41</v>
      </c>
      <c r="U11" s="12" t="s">
        <v>42</v>
      </c>
    </row>
    <row r="12" spans="1:21" x14ac:dyDescent="0.2">
      <c r="A12" s="13">
        <v>11</v>
      </c>
      <c r="B12" s="12" t="s">
        <v>11</v>
      </c>
      <c r="C12" s="12" t="s">
        <v>56</v>
      </c>
      <c r="D12" s="12" t="s">
        <v>87</v>
      </c>
      <c r="E12" s="12" t="s">
        <v>88</v>
      </c>
      <c r="G12" s="12" t="s">
        <v>89</v>
      </c>
      <c r="I12" s="13" t="s">
        <v>91</v>
      </c>
      <c r="J12" s="14"/>
      <c r="K12" s="12" t="s">
        <v>90</v>
      </c>
      <c r="L12" s="12" t="s">
        <v>84</v>
      </c>
      <c r="M12" s="13">
        <v>6</v>
      </c>
      <c r="N12" s="16">
        <v>46082</v>
      </c>
      <c r="O12" s="16">
        <f>EDATE(N12, 11)</f>
        <v>46419</v>
      </c>
      <c r="P12" s="13">
        <v>11</v>
      </c>
      <c r="Q12" s="17">
        <v>5500</v>
      </c>
      <c r="R12" s="17">
        <f>Q12*M12</f>
        <v>33000</v>
      </c>
      <c r="S12" s="12" t="s">
        <v>15</v>
      </c>
      <c r="T12" s="12" t="s">
        <v>41</v>
      </c>
      <c r="U12" s="12" t="s">
        <v>42</v>
      </c>
    </row>
    <row r="13" spans="1:21" x14ac:dyDescent="0.2">
      <c r="A13" s="13">
        <v>12</v>
      </c>
      <c r="B13" s="12" t="s">
        <v>11</v>
      </c>
      <c r="C13" s="12" t="s">
        <v>56</v>
      </c>
      <c r="D13" s="12" t="s">
        <v>92</v>
      </c>
      <c r="E13" s="12" t="s">
        <v>93</v>
      </c>
      <c r="G13" s="12" t="s">
        <v>85</v>
      </c>
      <c r="M13" s="13">
        <v>1</v>
      </c>
      <c r="N13" s="15">
        <v>46082</v>
      </c>
      <c r="O13" s="16">
        <f>EDATE(N13, 11)</f>
        <v>46419</v>
      </c>
      <c r="P13" s="13">
        <v>11</v>
      </c>
      <c r="Q13" s="17">
        <v>5000</v>
      </c>
      <c r="R13" s="17">
        <v>5000</v>
      </c>
      <c r="S13" s="12" t="s">
        <v>15</v>
      </c>
      <c r="T13" s="12" t="s">
        <v>41</v>
      </c>
      <c r="U13" s="12" t="s">
        <v>42</v>
      </c>
    </row>
    <row r="14" spans="1:21" x14ac:dyDescent="0.2">
      <c r="A14" s="13">
        <v>13</v>
      </c>
      <c r="B14" s="12" t="s">
        <v>11</v>
      </c>
      <c r="C14" s="12" t="s">
        <v>56</v>
      </c>
      <c r="D14" s="12" t="s">
        <v>95</v>
      </c>
      <c r="E14" s="12" t="s">
        <v>96</v>
      </c>
      <c r="G14" s="12" t="s">
        <v>68</v>
      </c>
      <c r="H14" s="13" t="s">
        <v>97</v>
      </c>
      <c r="J14" s="14" t="s">
        <v>98</v>
      </c>
      <c r="K14" s="12" t="s">
        <v>51</v>
      </c>
      <c r="L14" s="12" t="s">
        <v>21</v>
      </c>
      <c r="M14" s="13">
        <v>1</v>
      </c>
      <c r="N14" s="15">
        <v>46113</v>
      </c>
      <c r="O14" s="16">
        <f>EDATE(N14, 11)</f>
        <v>46447</v>
      </c>
      <c r="P14" s="13">
        <v>11</v>
      </c>
      <c r="Q14" s="17">
        <v>5500</v>
      </c>
      <c r="R14" s="17">
        <v>5500</v>
      </c>
      <c r="S14" s="12">
        <v>6000</v>
      </c>
      <c r="T14" s="12" t="s">
        <v>41</v>
      </c>
      <c r="U14" s="12" t="s">
        <v>42</v>
      </c>
    </row>
    <row r="15" spans="1:21" x14ac:dyDescent="0.2">
      <c r="A15" s="13">
        <v>14</v>
      </c>
      <c r="C15" s="12" t="s">
        <v>56</v>
      </c>
      <c r="D15" s="12" t="s">
        <v>116</v>
      </c>
      <c r="L15" s="12" t="s">
        <v>35</v>
      </c>
      <c r="M15" s="13">
        <v>2</v>
      </c>
      <c r="N15" s="15">
        <v>46082</v>
      </c>
      <c r="O15" s="15">
        <f>EDATE(N15, 11)</f>
        <v>46419</v>
      </c>
      <c r="P15" s="13">
        <v>11</v>
      </c>
      <c r="Q15" s="17">
        <v>6000</v>
      </c>
      <c r="R15" s="17">
        <v>12000</v>
      </c>
      <c r="S15" s="12" t="s">
        <v>15</v>
      </c>
      <c r="T15" s="12" t="s">
        <v>41</v>
      </c>
      <c r="U15" s="12" t="s">
        <v>42</v>
      </c>
    </row>
    <row r="16" spans="1:21" x14ac:dyDescent="0.2">
      <c r="A16" s="13">
        <v>15</v>
      </c>
    </row>
    <row r="17" spans="1:13" x14ac:dyDescent="0.2">
      <c r="A17" s="13">
        <v>16</v>
      </c>
    </row>
    <row r="18" spans="1:13" x14ac:dyDescent="0.2">
      <c r="A18" s="13">
        <v>17</v>
      </c>
    </row>
    <row r="19" spans="1:13" x14ac:dyDescent="0.2">
      <c r="A19" s="13">
        <v>18</v>
      </c>
      <c r="M19" s="13">
        <f>SUM(M2:M17)</f>
        <v>40</v>
      </c>
    </row>
    <row r="20" spans="1:13" x14ac:dyDescent="0.2">
      <c r="A20" s="13">
        <v>19</v>
      </c>
    </row>
    <row r="21" spans="1:13" x14ac:dyDescent="0.2">
      <c r="A21" s="13">
        <v>20</v>
      </c>
    </row>
  </sheetData>
  <pageMargins left="0.7" right="0.7" top="0.75" bottom="0.75" header="0.3" footer="0.3"/>
  <ignoredErrors>
    <ignoredError sqref="J7 J9:J10 J14" numberStoredAsText="1"/>
    <ignoredError sqref="R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27FF-2207-184D-B3EC-1B28B4AECD9B}">
  <dimension ref="A1:U12"/>
  <sheetViews>
    <sheetView zoomScale="200" workbookViewId="0">
      <selection activeCell="A2" sqref="A2:XFD2"/>
    </sheetView>
  </sheetViews>
  <sheetFormatPr baseColWidth="10" defaultRowHeight="16" x14ac:dyDescent="0.2"/>
  <cols>
    <col min="1" max="1" width="5.83203125" style="4" customWidth="1"/>
    <col min="2" max="2" width="4.6640625" customWidth="1"/>
    <col min="3" max="3" width="13.33203125" bestFit="1" customWidth="1"/>
    <col min="4" max="4" width="36.33203125" bestFit="1" customWidth="1"/>
    <col min="5" max="5" width="22.1640625" bestFit="1" customWidth="1"/>
    <col min="6" max="6" width="23.6640625" customWidth="1"/>
    <col min="7" max="7" width="11.6640625" customWidth="1"/>
    <col min="8" max="8" width="12.5" style="4" customWidth="1"/>
    <col min="9" max="9" width="18" bestFit="1" customWidth="1"/>
    <col min="10" max="10" width="15.6640625" style="9" customWidth="1"/>
    <col min="11" max="11" width="78.83203125" bestFit="1" customWidth="1"/>
    <col min="12" max="12" width="15.5" customWidth="1"/>
    <col min="13" max="13" width="5.6640625" style="4" customWidth="1"/>
    <col min="14" max="14" width="15" style="2" bestFit="1" customWidth="1"/>
    <col min="15" max="15" width="17.1640625" style="2" bestFit="1" customWidth="1"/>
    <col min="16" max="16" width="8.33203125" style="4" customWidth="1"/>
    <col min="17" max="18" width="10.83203125" style="1"/>
    <col min="19" max="19" width="12.6640625" bestFit="1" customWidth="1"/>
    <col min="20" max="20" width="11.1640625" customWidth="1"/>
    <col min="21" max="21" width="14" customWidth="1"/>
  </cols>
  <sheetData>
    <row r="1" spans="1:21" s="5" customFormat="1" x14ac:dyDescent="0.2">
      <c r="A1" s="5" t="s">
        <v>49</v>
      </c>
      <c r="B1" s="5" t="s">
        <v>43</v>
      </c>
      <c r="C1" s="5" t="s">
        <v>0</v>
      </c>
      <c r="D1" s="5" t="s">
        <v>1</v>
      </c>
      <c r="E1" s="5" t="s">
        <v>3</v>
      </c>
      <c r="F1" s="5" t="s">
        <v>4</v>
      </c>
      <c r="G1" s="5" t="s">
        <v>48</v>
      </c>
      <c r="H1" s="5" t="s">
        <v>24</v>
      </c>
      <c r="I1" s="5" t="s">
        <v>25</v>
      </c>
      <c r="J1" s="10" t="s">
        <v>58</v>
      </c>
      <c r="K1" s="5" t="s">
        <v>2</v>
      </c>
      <c r="L1" s="5" t="s">
        <v>45</v>
      </c>
      <c r="M1" s="5" t="s">
        <v>46</v>
      </c>
      <c r="N1" s="6" t="s">
        <v>5</v>
      </c>
      <c r="O1" s="6" t="s">
        <v>6</v>
      </c>
      <c r="P1" s="5" t="s">
        <v>7</v>
      </c>
      <c r="Q1" s="7" t="s">
        <v>8</v>
      </c>
      <c r="R1" s="7" t="s">
        <v>9</v>
      </c>
      <c r="S1" s="5" t="s">
        <v>10</v>
      </c>
      <c r="T1" s="5" t="s">
        <v>47</v>
      </c>
      <c r="U1" s="5" t="s">
        <v>69</v>
      </c>
    </row>
    <row r="2" spans="1:21" x14ac:dyDescent="0.2">
      <c r="A2" s="4">
        <v>13</v>
      </c>
      <c r="B2" s="11" t="s">
        <v>11</v>
      </c>
      <c r="C2" s="11" t="s">
        <v>94</v>
      </c>
      <c r="D2" s="11" t="s">
        <v>95</v>
      </c>
      <c r="E2" s="11" t="s">
        <v>96</v>
      </c>
      <c r="G2" s="11" t="s">
        <v>68</v>
      </c>
      <c r="H2" s="4" t="s">
        <v>97</v>
      </c>
      <c r="J2" s="8" t="s">
        <v>98</v>
      </c>
      <c r="K2" s="11" t="s">
        <v>51</v>
      </c>
      <c r="L2" s="11" t="s">
        <v>21</v>
      </c>
      <c r="M2" s="4">
        <v>1</v>
      </c>
      <c r="N2" s="2">
        <v>46113</v>
      </c>
      <c r="O2" s="16">
        <f>EDATE(N2, 11)</f>
        <v>46447</v>
      </c>
      <c r="P2" s="4">
        <v>11</v>
      </c>
      <c r="Q2" s="1">
        <v>5500</v>
      </c>
      <c r="R2" s="1">
        <v>5500</v>
      </c>
      <c r="S2">
        <v>6000</v>
      </c>
      <c r="T2" s="11" t="s">
        <v>41</v>
      </c>
      <c r="U2" s="11" t="s">
        <v>42</v>
      </c>
    </row>
    <row r="3" spans="1:21" x14ac:dyDescent="0.2">
      <c r="I3" s="4"/>
      <c r="J3" s="8"/>
      <c r="N3" s="3"/>
      <c r="O3" s="3"/>
    </row>
    <row r="4" spans="1:21" x14ac:dyDescent="0.2">
      <c r="I4" s="4"/>
      <c r="J4" s="8"/>
      <c r="O4" s="3"/>
    </row>
    <row r="5" spans="1:21" x14ac:dyDescent="0.2">
      <c r="I5" s="4"/>
      <c r="J5" s="8"/>
      <c r="O5" s="3"/>
    </row>
    <row r="6" spans="1:21" x14ac:dyDescent="0.2">
      <c r="I6" s="4"/>
      <c r="J6" s="8"/>
      <c r="O6" s="3"/>
    </row>
    <row r="7" spans="1:21" x14ac:dyDescent="0.2">
      <c r="I7" s="4"/>
      <c r="J7" s="8"/>
      <c r="O7" s="3"/>
    </row>
    <row r="8" spans="1:21" x14ac:dyDescent="0.2">
      <c r="I8" s="4"/>
      <c r="J8" s="8"/>
      <c r="O8" s="3"/>
    </row>
    <row r="9" spans="1:21" x14ac:dyDescent="0.2">
      <c r="J9" s="8"/>
      <c r="O9" s="3"/>
    </row>
    <row r="10" spans="1:21" x14ac:dyDescent="0.2">
      <c r="J10" s="8"/>
      <c r="O10" s="3"/>
    </row>
    <row r="11" spans="1:21" x14ac:dyDescent="0.2">
      <c r="O11" s="3"/>
    </row>
    <row r="12" spans="1:21" x14ac:dyDescent="0.2">
      <c r="O1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6581B-C119-CA41-916C-D7EEB9F13720}">
  <dimension ref="A1:V39"/>
  <sheetViews>
    <sheetView zoomScale="208" workbookViewId="0">
      <selection activeCell="J7" sqref="J7"/>
    </sheetView>
  </sheetViews>
  <sheetFormatPr baseColWidth="10" defaultColWidth="8.83203125" defaultRowHeight="16" x14ac:dyDescent="0.2"/>
  <cols>
    <col min="1" max="1" width="36.33203125" bestFit="1" customWidth="1"/>
    <col min="2" max="2" width="69.33203125" bestFit="1" customWidth="1"/>
    <col min="3" max="15" width="18" customWidth="1"/>
    <col min="16" max="16" width="25" customWidth="1"/>
    <col min="17" max="17" width="30" customWidth="1"/>
  </cols>
  <sheetData>
    <row r="1" spans="1:17" ht="32" x14ac:dyDescent="0.2">
      <c r="A1" s="18" t="s">
        <v>99</v>
      </c>
      <c r="B1" s="18" t="s">
        <v>100</v>
      </c>
      <c r="C1" s="18" t="s">
        <v>101</v>
      </c>
      <c r="D1" s="18" t="s">
        <v>102</v>
      </c>
      <c r="E1" s="18" t="s">
        <v>103</v>
      </c>
      <c r="F1" s="19" t="s">
        <v>104</v>
      </c>
      <c r="G1" s="19" t="s">
        <v>105</v>
      </c>
      <c r="H1" s="19" t="s">
        <v>106</v>
      </c>
      <c r="I1" s="19" t="s">
        <v>107</v>
      </c>
      <c r="J1" s="19" t="s">
        <v>108</v>
      </c>
      <c r="K1" s="19" t="s">
        <v>109</v>
      </c>
      <c r="L1" s="19" t="s">
        <v>110</v>
      </c>
      <c r="M1" s="19" t="s">
        <v>111</v>
      </c>
      <c r="N1" s="19" t="s">
        <v>112</v>
      </c>
      <c r="O1" s="19" t="s">
        <v>113</v>
      </c>
      <c r="P1" s="19" t="s">
        <v>114</v>
      </c>
      <c r="Q1" s="18" t="s">
        <v>115</v>
      </c>
    </row>
    <row r="2" spans="1:17" s="26" customFormat="1" x14ac:dyDescent="0.2">
      <c r="A2" s="12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s="26" customFormat="1" x14ac:dyDescent="0.2">
      <c r="A3" s="12" t="s">
        <v>30</v>
      </c>
      <c r="B3" s="12" t="s">
        <v>12</v>
      </c>
      <c r="C3" s="33" t="s">
        <v>31</v>
      </c>
      <c r="D3" s="27">
        <v>46113</v>
      </c>
      <c r="E3" s="27">
        <f>D3+4</f>
        <v>46117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s="26" customFormat="1" x14ac:dyDescent="0.2">
      <c r="A4" s="12" t="s">
        <v>18</v>
      </c>
      <c r="B4" s="12" t="s">
        <v>19</v>
      </c>
      <c r="C4" s="33"/>
      <c r="D4" s="27">
        <v>46113</v>
      </c>
      <c r="E4" s="27">
        <f t="shared" ref="E4:E16" si="0">D4+4</f>
        <v>46117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s="26" customFormat="1" ht="16" customHeight="1" x14ac:dyDescent="0.2">
      <c r="A5" s="12" t="s">
        <v>23</v>
      </c>
      <c r="B5" s="30" t="s">
        <v>118</v>
      </c>
      <c r="C5" s="29" t="s">
        <v>32</v>
      </c>
      <c r="D5" s="31"/>
      <c r="E5" s="31"/>
      <c r="F5" s="25"/>
      <c r="G5" s="32"/>
      <c r="H5" s="32"/>
      <c r="I5" s="32"/>
      <c r="J5" s="25"/>
      <c r="K5" s="25"/>
      <c r="L5" s="25"/>
      <c r="M5" s="25"/>
      <c r="N5" s="25"/>
      <c r="O5" s="25"/>
      <c r="P5" s="25"/>
      <c r="Q5" s="25"/>
    </row>
    <row r="6" spans="1:17" s="26" customFormat="1" x14ac:dyDescent="0.2">
      <c r="A6" s="12" t="s">
        <v>26</v>
      </c>
      <c r="B6" s="12" t="s">
        <v>28</v>
      </c>
      <c r="C6" s="33" t="s">
        <v>73</v>
      </c>
      <c r="D6" s="27">
        <v>46113</v>
      </c>
      <c r="E6" s="27">
        <f t="shared" si="0"/>
        <v>46117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</row>
    <row r="7" spans="1:17" s="26" customFormat="1" x14ac:dyDescent="0.2">
      <c r="A7" s="12" t="s">
        <v>33</v>
      </c>
      <c r="B7" s="12" t="s">
        <v>71</v>
      </c>
      <c r="C7" s="33"/>
      <c r="D7" s="27">
        <v>46113</v>
      </c>
      <c r="E7" s="27">
        <f t="shared" si="0"/>
        <v>46117</v>
      </c>
      <c r="F7" s="25"/>
      <c r="G7" s="32"/>
      <c r="H7" s="32"/>
      <c r="I7" s="32"/>
      <c r="J7" s="25"/>
      <c r="K7" s="25"/>
      <c r="L7" s="25"/>
      <c r="M7" s="25"/>
      <c r="N7" s="25"/>
      <c r="O7" s="25"/>
      <c r="P7" s="25"/>
      <c r="Q7" s="25"/>
    </row>
    <row r="8" spans="1:17" s="26" customFormat="1" x14ac:dyDescent="0.2">
      <c r="A8" s="12" t="s">
        <v>57</v>
      </c>
      <c r="B8" s="12" t="s">
        <v>39</v>
      </c>
      <c r="C8" s="33" t="s">
        <v>64</v>
      </c>
      <c r="D8" s="27">
        <v>46113</v>
      </c>
      <c r="E8" s="27">
        <f t="shared" si="0"/>
        <v>46117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s="26" customFormat="1" x14ac:dyDescent="0.2">
      <c r="A9" s="12" t="s">
        <v>50</v>
      </c>
      <c r="B9" s="12" t="s">
        <v>51</v>
      </c>
      <c r="C9" s="33" t="s">
        <v>54</v>
      </c>
      <c r="D9" s="27">
        <v>46113</v>
      </c>
      <c r="E9" s="27">
        <f t="shared" si="0"/>
        <v>46117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0" spans="1:17" s="26" customFormat="1" x14ac:dyDescent="0.2">
      <c r="A10" s="12" t="s">
        <v>59</v>
      </c>
      <c r="B10" s="12" t="s">
        <v>61</v>
      </c>
      <c r="C10" s="33" t="s">
        <v>60</v>
      </c>
      <c r="D10" s="27">
        <v>46113</v>
      </c>
      <c r="E10" s="27">
        <f t="shared" si="0"/>
        <v>46117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</row>
    <row r="11" spans="1:17" s="26" customFormat="1" x14ac:dyDescent="0.2">
      <c r="A11" s="12" t="s">
        <v>75</v>
      </c>
      <c r="B11" s="12" t="s">
        <v>79</v>
      </c>
      <c r="C11" s="33"/>
      <c r="D11" s="27">
        <v>46113</v>
      </c>
      <c r="E11" s="27">
        <f t="shared" si="0"/>
        <v>46117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</row>
    <row r="12" spans="1:17" s="26" customFormat="1" x14ac:dyDescent="0.2">
      <c r="A12" s="12" t="s">
        <v>82</v>
      </c>
      <c r="B12" s="12" t="s">
        <v>86</v>
      </c>
      <c r="C12" s="33" t="s">
        <v>81</v>
      </c>
      <c r="D12" s="27">
        <v>46113</v>
      </c>
      <c r="E12" s="27">
        <f t="shared" si="0"/>
        <v>46117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</row>
    <row r="13" spans="1:17" s="26" customFormat="1" x14ac:dyDescent="0.2">
      <c r="A13" s="12" t="s">
        <v>87</v>
      </c>
      <c r="B13" s="12" t="s">
        <v>90</v>
      </c>
      <c r="C13" s="33" t="s">
        <v>91</v>
      </c>
      <c r="D13" s="27">
        <v>46113</v>
      </c>
      <c r="E13" s="27">
        <f t="shared" si="0"/>
        <v>46117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1:17" s="26" customFormat="1" x14ac:dyDescent="0.2">
      <c r="A14" s="12" t="s">
        <v>117</v>
      </c>
      <c r="B14" s="12"/>
      <c r="C14" s="33"/>
      <c r="D14" s="27">
        <v>46113</v>
      </c>
      <c r="E14" s="27">
        <f t="shared" si="0"/>
        <v>46117</v>
      </c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</row>
    <row r="15" spans="1:17" s="26" customFormat="1" x14ac:dyDescent="0.2">
      <c r="A15" s="12" t="s">
        <v>95</v>
      </c>
      <c r="B15" s="12" t="s">
        <v>51</v>
      </c>
      <c r="C15" s="33"/>
      <c r="D15" s="27">
        <v>46113</v>
      </c>
      <c r="E15" s="27">
        <f t="shared" si="0"/>
        <v>46117</v>
      </c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</row>
    <row r="16" spans="1:17" s="26" customFormat="1" x14ac:dyDescent="0.2">
      <c r="A16" s="12" t="s">
        <v>116</v>
      </c>
      <c r="B16" s="12"/>
      <c r="C16" s="12"/>
      <c r="D16" s="27">
        <v>46113</v>
      </c>
      <c r="E16" s="27">
        <f t="shared" si="0"/>
        <v>46117</v>
      </c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</row>
    <row r="17" spans="1:22" s="26" customFormat="1" x14ac:dyDescent="0.2">
      <c r="A17" s="25"/>
      <c r="B17" s="25"/>
      <c r="C17" s="25"/>
      <c r="D17" s="2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</row>
    <row r="18" spans="1:22" s="26" customFormat="1" x14ac:dyDescent="0.2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</row>
    <row r="19" spans="1:22" s="26" customFormat="1" x14ac:dyDescent="0.2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</row>
    <row r="20" spans="1:22" s="28" customFormat="1" x14ac:dyDescent="0.2"/>
    <row r="21" spans="1:22" s="28" customFormat="1" x14ac:dyDescent="0.2"/>
    <row r="22" spans="1:22" s="28" customFormat="1" x14ac:dyDescent="0.2"/>
    <row r="23" spans="1:22" s="28" customFormat="1" x14ac:dyDescent="0.2"/>
    <row r="24" spans="1:22" x14ac:dyDescent="0.2">
      <c r="A24" s="20" t="s">
        <v>49</v>
      </c>
      <c r="B24" s="20" t="s">
        <v>43</v>
      </c>
      <c r="C24" s="20" t="s">
        <v>0</v>
      </c>
      <c r="D24" s="20" t="s">
        <v>1</v>
      </c>
      <c r="E24" s="20" t="s">
        <v>3</v>
      </c>
      <c r="F24" s="20" t="s">
        <v>4</v>
      </c>
      <c r="G24" s="20" t="s">
        <v>48</v>
      </c>
      <c r="H24" s="20" t="s">
        <v>24</v>
      </c>
      <c r="I24" s="20" t="s">
        <v>25</v>
      </c>
      <c r="J24" s="21" t="s">
        <v>58</v>
      </c>
      <c r="K24" s="20" t="s">
        <v>2</v>
      </c>
      <c r="L24" s="20" t="s">
        <v>45</v>
      </c>
      <c r="M24" s="20" t="s">
        <v>46</v>
      </c>
      <c r="N24" s="22" t="s">
        <v>5</v>
      </c>
      <c r="O24" s="22" t="s">
        <v>6</v>
      </c>
      <c r="P24" s="20" t="s">
        <v>7</v>
      </c>
      <c r="Q24" s="23" t="s">
        <v>8</v>
      </c>
      <c r="R24" s="23" t="s">
        <v>9</v>
      </c>
      <c r="S24" s="20" t="s">
        <v>10</v>
      </c>
      <c r="T24" s="20" t="s">
        <v>47</v>
      </c>
      <c r="U24" s="20" t="s">
        <v>69</v>
      </c>
      <c r="V24" s="20"/>
    </row>
    <row r="25" spans="1:22" x14ac:dyDescent="0.2">
      <c r="A25" s="13">
        <v>1</v>
      </c>
      <c r="B25" s="12" t="s">
        <v>11</v>
      </c>
      <c r="C25" s="12" t="s">
        <v>16</v>
      </c>
      <c r="D25" s="12" t="s">
        <v>30</v>
      </c>
      <c r="E25" s="12" t="s">
        <v>13</v>
      </c>
      <c r="F25" s="12" t="s">
        <v>44</v>
      </c>
      <c r="G25" s="12" t="s">
        <v>65</v>
      </c>
      <c r="H25" s="13"/>
      <c r="I25" s="13" t="s">
        <v>31</v>
      </c>
      <c r="J25" s="14"/>
      <c r="K25" s="12" t="s">
        <v>12</v>
      </c>
      <c r="L25" s="12" t="s">
        <v>14</v>
      </c>
      <c r="M25" s="13">
        <v>4</v>
      </c>
      <c r="N25" s="16">
        <v>46023</v>
      </c>
      <c r="O25" s="16">
        <f>EDATE(N25, 11)</f>
        <v>46357</v>
      </c>
      <c r="P25" s="13">
        <v>11</v>
      </c>
      <c r="Q25" s="17">
        <v>6000</v>
      </c>
      <c r="R25" s="17">
        <f>M25*Q25</f>
        <v>24000</v>
      </c>
      <c r="S25" s="12" t="s">
        <v>15</v>
      </c>
      <c r="T25" s="12" t="s">
        <v>41</v>
      </c>
      <c r="U25" s="12" t="s">
        <v>42</v>
      </c>
      <c r="V25" s="12"/>
    </row>
    <row r="26" spans="1:22" x14ac:dyDescent="0.2">
      <c r="A26" s="13">
        <v>2</v>
      </c>
      <c r="B26" s="12" t="s">
        <v>17</v>
      </c>
      <c r="C26" s="12" t="s">
        <v>16</v>
      </c>
      <c r="D26" s="12" t="s">
        <v>18</v>
      </c>
      <c r="E26" s="12" t="s">
        <v>20</v>
      </c>
      <c r="F26" s="12"/>
      <c r="G26" s="12" t="s">
        <v>65</v>
      </c>
      <c r="H26" s="13"/>
      <c r="I26" s="13"/>
      <c r="J26" s="14"/>
      <c r="K26" s="12" t="s">
        <v>19</v>
      </c>
      <c r="L26" s="12" t="s">
        <v>21</v>
      </c>
      <c r="M26" s="13">
        <v>1</v>
      </c>
      <c r="N26" s="16">
        <v>46028</v>
      </c>
      <c r="O26" s="16">
        <f t="shared" ref="O26:O33" si="1">EDATE(N26, 11)</f>
        <v>46362</v>
      </c>
      <c r="P26" s="13">
        <v>11</v>
      </c>
      <c r="Q26" s="17">
        <v>5000</v>
      </c>
      <c r="R26" s="17">
        <f t="shared" ref="R26:R33" si="2">M26*Q26</f>
        <v>5000</v>
      </c>
      <c r="S26" s="12" t="s">
        <v>15</v>
      </c>
      <c r="T26" s="12" t="s">
        <v>41</v>
      </c>
      <c r="U26" s="12" t="s">
        <v>42</v>
      </c>
      <c r="V26" s="12"/>
    </row>
    <row r="27" spans="1:22" x14ac:dyDescent="0.2">
      <c r="A27" s="13">
        <v>3</v>
      </c>
      <c r="B27" s="12" t="s">
        <v>22</v>
      </c>
      <c r="C27" s="12" t="s">
        <v>16</v>
      </c>
      <c r="D27" s="12" t="s">
        <v>23</v>
      </c>
      <c r="E27" s="12"/>
      <c r="F27" s="12"/>
      <c r="G27" s="12" t="s">
        <v>66</v>
      </c>
      <c r="H27" s="13"/>
      <c r="I27" s="13" t="s">
        <v>32</v>
      </c>
      <c r="J27" s="14"/>
      <c r="K27" s="12"/>
      <c r="L27" s="12" t="s">
        <v>14</v>
      </c>
      <c r="M27" s="13">
        <v>6</v>
      </c>
      <c r="N27" s="15">
        <v>46034</v>
      </c>
      <c r="O27" s="16">
        <f t="shared" si="1"/>
        <v>46368</v>
      </c>
      <c r="P27" s="13">
        <v>3</v>
      </c>
      <c r="Q27" s="17">
        <v>5000</v>
      </c>
      <c r="R27" s="17">
        <f t="shared" si="2"/>
        <v>30000</v>
      </c>
      <c r="S27" s="12" t="s">
        <v>15</v>
      </c>
      <c r="T27" s="12" t="s">
        <v>41</v>
      </c>
      <c r="U27" s="12" t="s">
        <v>42</v>
      </c>
      <c r="V27" s="12"/>
    </row>
    <row r="28" spans="1:22" x14ac:dyDescent="0.2">
      <c r="A28" s="13">
        <v>4</v>
      </c>
      <c r="B28" s="12" t="s">
        <v>27</v>
      </c>
      <c r="C28" s="12" t="s">
        <v>16</v>
      </c>
      <c r="D28" s="12" t="s">
        <v>26</v>
      </c>
      <c r="E28" s="12" t="s">
        <v>29</v>
      </c>
      <c r="F28" s="12"/>
      <c r="G28" s="12" t="s">
        <v>67</v>
      </c>
      <c r="H28" s="13" t="s">
        <v>74</v>
      </c>
      <c r="I28" s="13" t="s">
        <v>73</v>
      </c>
      <c r="J28" s="14"/>
      <c r="K28" s="12" t="s">
        <v>28</v>
      </c>
      <c r="L28" s="12" t="s">
        <v>35</v>
      </c>
      <c r="M28" s="13">
        <v>3</v>
      </c>
      <c r="N28" s="15">
        <v>46037</v>
      </c>
      <c r="O28" s="16">
        <f t="shared" si="1"/>
        <v>46371</v>
      </c>
      <c r="P28" s="13">
        <v>11</v>
      </c>
      <c r="Q28" s="17">
        <v>5000</v>
      </c>
      <c r="R28" s="17">
        <f t="shared" si="2"/>
        <v>15000</v>
      </c>
      <c r="S28" s="12" t="s">
        <v>15</v>
      </c>
      <c r="T28" s="12" t="s">
        <v>41</v>
      </c>
      <c r="U28" s="12" t="s">
        <v>42</v>
      </c>
      <c r="V28" s="12"/>
    </row>
    <row r="29" spans="1:22" x14ac:dyDescent="0.2">
      <c r="A29" s="13">
        <v>5</v>
      </c>
      <c r="B29" s="12" t="s">
        <v>36</v>
      </c>
      <c r="C29" s="12" t="s">
        <v>16</v>
      </c>
      <c r="D29" s="12" t="s">
        <v>33</v>
      </c>
      <c r="E29" s="12" t="s">
        <v>34</v>
      </c>
      <c r="F29" s="12"/>
      <c r="G29" s="12" t="s">
        <v>65</v>
      </c>
      <c r="H29" s="13"/>
      <c r="I29" s="13"/>
      <c r="J29" s="14"/>
      <c r="K29" s="12" t="s">
        <v>71</v>
      </c>
      <c r="L29" s="12" t="s">
        <v>35</v>
      </c>
      <c r="M29" s="13">
        <v>2</v>
      </c>
      <c r="N29" s="15">
        <v>46054</v>
      </c>
      <c r="O29" s="16">
        <f t="shared" si="1"/>
        <v>46388</v>
      </c>
      <c r="P29" s="13">
        <v>11</v>
      </c>
      <c r="Q29" s="17">
        <v>5500</v>
      </c>
      <c r="R29" s="17">
        <f t="shared" si="2"/>
        <v>11000</v>
      </c>
      <c r="S29" s="12" t="s">
        <v>15</v>
      </c>
      <c r="T29" s="12" t="s">
        <v>41</v>
      </c>
      <c r="U29" s="12" t="s">
        <v>42</v>
      </c>
      <c r="V29" s="12"/>
    </row>
    <row r="30" spans="1:22" x14ac:dyDescent="0.2">
      <c r="A30" s="13">
        <v>6</v>
      </c>
      <c r="B30" s="12" t="s">
        <v>37</v>
      </c>
      <c r="C30" s="12" t="s">
        <v>38</v>
      </c>
      <c r="D30" s="12" t="s">
        <v>57</v>
      </c>
      <c r="E30" s="12" t="s">
        <v>40</v>
      </c>
      <c r="F30" s="12"/>
      <c r="G30" s="12" t="s">
        <v>68</v>
      </c>
      <c r="H30" s="13"/>
      <c r="I30" s="13" t="s">
        <v>64</v>
      </c>
      <c r="J30" s="14" t="s">
        <v>62</v>
      </c>
      <c r="K30" s="12" t="s">
        <v>39</v>
      </c>
      <c r="L30" s="12" t="s">
        <v>21</v>
      </c>
      <c r="M30" s="13">
        <v>1</v>
      </c>
      <c r="N30" s="15">
        <v>46055</v>
      </c>
      <c r="O30" s="16">
        <f t="shared" si="1"/>
        <v>46389</v>
      </c>
      <c r="P30" s="13">
        <v>11</v>
      </c>
      <c r="Q30" s="17">
        <v>5000</v>
      </c>
      <c r="R30" s="17">
        <f t="shared" si="2"/>
        <v>5000</v>
      </c>
      <c r="S30" s="12" t="s">
        <v>15</v>
      </c>
      <c r="T30" s="12" t="s">
        <v>41</v>
      </c>
      <c r="U30" s="12" t="s">
        <v>42</v>
      </c>
      <c r="V30" s="12"/>
    </row>
    <row r="31" spans="1:22" x14ac:dyDescent="0.2">
      <c r="A31" s="13">
        <v>7</v>
      </c>
      <c r="B31" s="12" t="s">
        <v>11</v>
      </c>
      <c r="C31" s="12" t="s">
        <v>56</v>
      </c>
      <c r="D31" s="12" t="s">
        <v>50</v>
      </c>
      <c r="E31" s="12" t="s">
        <v>52</v>
      </c>
      <c r="F31" s="12" t="s">
        <v>53</v>
      </c>
      <c r="G31" s="12" t="s">
        <v>65</v>
      </c>
      <c r="H31" s="13" t="s">
        <v>55</v>
      </c>
      <c r="I31" s="13" t="s">
        <v>54</v>
      </c>
      <c r="J31" s="14"/>
      <c r="K31" s="12" t="s">
        <v>51</v>
      </c>
      <c r="L31" s="12" t="s">
        <v>14</v>
      </c>
      <c r="M31" s="13">
        <v>5</v>
      </c>
      <c r="N31" s="15">
        <v>46082</v>
      </c>
      <c r="O31" s="16">
        <f t="shared" si="1"/>
        <v>46419</v>
      </c>
      <c r="P31" s="13">
        <v>3</v>
      </c>
      <c r="Q31" s="17">
        <v>5500</v>
      </c>
      <c r="R31" s="17">
        <f>27500*1.5</f>
        <v>41250</v>
      </c>
      <c r="S31" s="12" t="s">
        <v>15</v>
      </c>
      <c r="T31" s="12" t="s">
        <v>41</v>
      </c>
      <c r="U31" s="12" t="s">
        <v>42</v>
      </c>
      <c r="V31" s="12"/>
    </row>
    <row r="32" spans="1:22" x14ac:dyDescent="0.2">
      <c r="A32" s="13">
        <v>8</v>
      </c>
      <c r="B32" s="12" t="s">
        <v>72</v>
      </c>
      <c r="C32" s="12" t="s">
        <v>56</v>
      </c>
      <c r="D32" s="12" t="s">
        <v>59</v>
      </c>
      <c r="E32" s="12" t="s">
        <v>70</v>
      </c>
      <c r="F32" s="12"/>
      <c r="G32" s="12" t="s">
        <v>65</v>
      </c>
      <c r="H32" s="13"/>
      <c r="I32" s="12" t="s">
        <v>60</v>
      </c>
      <c r="J32" s="14" t="s">
        <v>63</v>
      </c>
      <c r="K32" s="12" t="s">
        <v>61</v>
      </c>
      <c r="L32" s="12" t="s">
        <v>35</v>
      </c>
      <c r="M32" s="13">
        <v>1</v>
      </c>
      <c r="N32" s="15">
        <v>46057</v>
      </c>
      <c r="O32" s="16">
        <f t="shared" si="1"/>
        <v>46391</v>
      </c>
      <c r="P32" s="13">
        <v>11</v>
      </c>
      <c r="Q32" s="17">
        <v>6000</v>
      </c>
      <c r="R32" s="17">
        <f t="shared" si="2"/>
        <v>6000</v>
      </c>
      <c r="S32" s="12" t="s">
        <v>15</v>
      </c>
      <c r="T32" s="12" t="s">
        <v>41</v>
      </c>
      <c r="U32" s="12" t="s">
        <v>42</v>
      </c>
      <c r="V32" s="12"/>
    </row>
    <row r="33" spans="1:22" x14ac:dyDescent="0.2">
      <c r="A33" s="13">
        <v>9</v>
      </c>
      <c r="B33" s="12" t="s">
        <v>80</v>
      </c>
      <c r="C33" s="12" t="s">
        <v>38</v>
      </c>
      <c r="D33" s="12" t="s">
        <v>75</v>
      </c>
      <c r="E33" s="12" t="s">
        <v>75</v>
      </c>
      <c r="F33" s="12"/>
      <c r="G33" s="12" t="s">
        <v>76</v>
      </c>
      <c r="H33" s="13" t="s">
        <v>78</v>
      </c>
      <c r="I33" s="12"/>
      <c r="J33" s="14" t="s">
        <v>77</v>
      </c>
      <c r="K33" s="12" t="s">
        <v>79</v>
      </c>
      <c r="L33" s="12" t="s">
        <v>21</v>
      </c>
      <c r="M33" s="13">
        <v>1</v>
      </c>
      <c r="N33" s="15">
        <v>46062</v>
      </c>
      <c r="O33" s="16">
        <f t="shared" si="1"/>
        <v>46396</v>
      </c>
      <c r="P33" s="13">
        <v>11</v>
      </c>
      <c r="Q33" s="17">
        <v>3500</v>
      </c>
      <c r="R33" s="17">
        <f t="shared" si="2"/>
        <v>3500</v>
      </c>
      <c r="S33" s="12" t="s">
        <v>15</v>
      </c>
      <c r="T33" s="12" t="s">
        <v>41</v>
      </c>
      <c r="U33" s="12" t="s">
        <v>42</v>
      </c>
      <c r="V33" s="12"/>
    </row>
    <row r="34" spans="1:22" x14ac:dyDescent="0.2">
      <c r="A34" s="13">
        <v>10</v>
      </c>
      <c r="B34" s="12" t="s">
        <v>22</v>
      </c>
      <c r="C34" s="12" t="s">
        <v>38</v>
      </c>
      <c r="D34" s="12" t="s">
        <v>82</v>
      </c>
      <c r="E34" s="12" t="s">
        <v>83</v>
      </c>
      <c r="F34" s="12"/>
      <c r="G34" s="12" t="s">
        <v>85</v>
      </c>
      <c r="H34" s="13"/>
      <c r="I34" s="12" t="s">
        <v>81</v>
      </c>
      <c r="J34" s="14"/>
      <c r="K34" s="12" t="s">
        <v>86</v>
      </c>
      <c r="L34" s="12" t="s">
        <v>84</v>
      </c>
      <c r="M34" s="13">
        <v>6</v>
      </c>
      <c r="N34" s="16">
        <v>46082</v>
      </c>
      <c r="O34" s="16">
        <f>EDATE(N34, 11)</f>
        <v>46419</v>
      </c>
      <c r="P34" s="13">
        <v>11</v>
      </c>
      <c r="Q34" s="17">
        <v>5500</v>
      </c>
      <c r="R34" s="17">
        <f>Q34*M34</f>
        <v>33000</v>
      </c>
      <c r="S34" s="12" t="s">
        <v>15</v>
      </c>
      <c r="T34" s="12" t="s">
        <v>41</v>
      </c>
      <c r="U34" s="12" t="s">
        <v>42</v>
      </c>
      <c r="V34" s="12"/>
    </row>
    <row r="35" spans="1:22" x14ac:dyDescent="0.2">
      <c r="A35" s="13">
        <v>11</v>
      </c>
      <c r="B35" s="12" t="s">
        <v>11</v>
      </c>
      <c r="C35" s="12" t="s">
        <v>56</v>
      </c>
      <c r="D35" s="12" t="s">
        <v>87</v>
      </c>
      <c r="E35" s="12" t="s">
        <v>88</v>
      </c>
      <c r="F35" s="12"/>
      <c r="G35" s="12" t="s">
        <v>89</v>
      </c>
      <c r="H35" s="13"/>
      <c r="I35" s="13" t="s">
        <v>91</v>
      </c>
      <c r="J35" s="14"/>
      <c r="K35" s="12" t="s">
        <v>90</v>
      </c>
      <c r="L35" s="12" t="s">
        <v>84</v>
      </c>
      <c r="M35" s="13">
        <v>6</v>
      </c>
      <c r="N35" s="16">
        <v>46082</v>
      </c>
      <c r="O35" s="16">
        <f>EDATE(N35, 11)</f>
        <v>46419</v>
      </c>
      <c r="P35" s="13">
        <v>11</v>
      </c>
      <c r="Q35" s="17">
        <v>5500</v>
      </c>
      <c r="R35" s="17">
        <f>Q35*M35</f>
        <v>33000</v>
      </c>
      <c r="S35" s="12" t="s">
        <v>15</v>
      </c>
      <c r="T35" s="12" t="s">
        <v>41</v>
      </c>
      <c r="U35" s="12" t="s">
        <v>42</v>
      </c>
      <c r="V35" s="12"/>
    </row>
    <row r="36" spans="1:22" x14ac:dyDescent="0.2">
      <c r="A36" s="13">
        <v>12</v>
      </c>
      <c r="B36" s="12" t="s">
        <v>11</v>
      </c>
      <c r="C36" s="12" t="s">
        <v>56</v>
      </c>
      <c r="D36" s="12" t="s">
        <v>92</v>
      </c>
      <c r="E36" s="12" t="s">
        <v>93</v>
      </c>
      <c r="F36" s="12"/>
      <c r="G36" s="12" t="s">
        <v>85</v>
      </c>
      <c r="H36" s="13"/>
      <c r="I36" s="12"/>
      <c r="J36" s="24"/>
      <c r="K36" s="12"/>
      <c r="L36" s="12"/>
      <c r="M36" s="13"/>
      <c r="N36" s="15">
        <v>46082</v>
      </c>
      <c r="O36" s="16">
        <f>EDATE(N36, 11)</f>
        <v>46419</v>
      </c>
      <c r="P36" s="13">
        <v>11</v>
      </c>
      <c r="Q36" s="17">
        <v>5000</v>
      </c>
      <c r="R36" s="17">
        <v>5000</v>
      </c>
      <c r="S36" s="12" t="s">
        <v>15</v>
      </c>
      <c r="T36" s="12" t="s">
        <v>41</v>
      </c>
      <c r="U36" s="12" t="s">
        <v>42</v>
      </c>
      <c r="V36" s="12"/>
    </row>
    <row r="37" spans="1:22" x14ac:dyDescent="0.2">
      <c r="A37" s="13">
        <v>13</v>
      </c>
      <c r="B37" s="12" t="s">
        <v>11</v>
      </c>
      <c r="C37" s="12" t="s">
        <v>56</v>
      </c>
      <c r="D37" s="12" t="s">
        <v>95</v>
      </c>
      <c r="E37" s="12" t="s">
        <v>96</v>
      </c>
      <c r="F37" s="12"/>
      <c r="G37" s="12" t="s">
        <v>68</v>
      </c>
      <c r="H37" s="13" t="s">
        <v>97</v>
      </c>
      <c r="I37" s="12"/>
      <c r="J37" s="14" t="s">
        <v>98</v>
      </c>
      <c r="K37" s="12" t="s">
        <v>51</v>
      </c>
      <c r="L37" s="12" t="s">
        <v>21</v>
      </c>
      <c r="M37" s="13">
        <v>1</v>
      </c>
      <c r="N37" s="15">
        <v>46113</v>
      </c>
      <c r="O37" s="16">
        <f>EDATE(N37, 11)</f>
        <v>46447</v>
      </c>
      <c r="P37" s="13">
        <v>11</v>
      </c>
      <c r="Q37" s="17">
        <v>5500</v>
      </c>
      <c r="R37" s="17">
        <v>5500</v>
      </c>
      <c r="S37" s="12">
        <v>6000</v>
      </c>
      <c r="T37" s="12" t="s">
        <v>41</v>
      </c>
      <c r="U37" s="12" t="s">
        <v>42</v>
      </c>
      <c r="V37" s="12"/>
    </row>
    <row r="38" spans="1:22" x14ac:dyDescent="0.2">
      <c r="A38" s="13">
        <v>14</v>
      </c>
      <c r="B38" s="12"/>
      <c r="C38" s="12" t="s">
        <v>56</v>
      </c>
      <c r="D38" s="12" t="s">
        <v>116</v>
      </c>
      <c r="E38" s="12"/>
      <c r="F38" s="12"/>
      <c r="G38" s="12"/>
      <c r="H38" s="13"/>
      <c r="I38" s="12"/>
      <c r="J38" s="24"/>
      <c r="K38" s="12"/>
      <c r="L38" s="12"/>
      <c r="M38" s="13"/>
      <c r="N38" s="15"/>
      <c r="O38" s="15"/>
      <c r="P38" s="13"/>
      <c r="Q38" s="17"/>
      <c r="R38" s="17"/>
      <c r="S38" s="12"/>
      <c r="T38" s="12"/>
      <c r="U38" s="12"/>
      <c r="V38" s="12"/>
    </row>
    <row r="39" spans="1:22" x14ac:dyDescent="0.2">
      <c r="A39" s="13">
        <v>15</v>
      </c>
      <c r="B39" s="12"/>
      <c r="C39" s="12"/>
      <c r="D39" s="12"/>
      <c r="E39" s="12"/>
      <c r="F39" s="12"/>
      <c r="G39" s="12"/>
      <c r="H39" s="13"/>
      <c r="I39" s="12"/>
      <c r="J39" s="24"/>
      <c r="K39" s="12"/>
      <c r="L39" s="12"/>
      <c r="M39" s="13">
        <f>SUM(M25:M38)</f>
        <v>37</v>
      </c>
      <c r="N39" s="15"/>
      <c r="O39" s="15"/>
      <c r="P39" s="13"/>
      <c r="Q39" s="17"/>
      <c r="R39" s="17"/>
      <c r="S39" s="12"/>
      <c r="T39" s="12"/>
      <c r="U39" s="12"/>
      <c r="V3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2026-01-16T08:26:14Z</dcterms:created>
  <dcterms:modified xsi:type="dcterms:W3CDTF">2026-03-11T04:58:20Z</dcterms:modified>
</cp:coreProperties>
</file>